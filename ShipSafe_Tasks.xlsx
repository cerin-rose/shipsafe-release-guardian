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ipSafe Tasks" sheetId="1" state="visible" r:id="rId1"/>
    <sheet name="Histo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name val="Calibri"/>
      <b val="1"/>
      <color rgb="00FFFFFF"/>
      <sz val="13"/>
    </font>
    <font>
      <name val="Calibri"/>
      <color rgb="00F5F1E8"/>
      <sz val="10"/>
    </font>
    <font>
      <name val="Calibri"/>
      <b val="1"/>
      <color rgb="00FFCCCC"/>
      <sz val="10"/>
    </font>
    <font>
      <name val="Calibri"/>
      <b val="1"/>
      <color rgb="00FFFFFF"/>
      <sz val="10"/>
      <u val="single"/>
    </font>
    <font>
      <name val="Calibri"/>
      <b val="1"/>
      <color rgb="00FFFFFF"/>
      <sz val="10"/>
    </font>
    <font>
      <name val="Calibri"/>
      <b val="1"/>
      <color rgb="001E6B2E"/>
      <sz val="10"/>
    </font>
    <font>
      <name val="Calibri"/>
      <b val="1"/>
      <color rgb="00A21918"/>
      <sz val="10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E0CC"/>
      </patternFill>
    </fill>
    <fill>
      <patternFill patternType="solid">
        <fgColor rgb="00FFCCCC"/>
      </patternFill>
    </fill>
    <fill>
      <patternFill patternType="solid">
        <fgColor rgb="00FFFFFF"/>
      </patternFill>
    </fill>
    <fill>
      <patternFill patternType="solid">
        <fgColor rgb="00FFFACC"/>
      </patternFill>
    </fill>
    <fill>
      <patternFill patternType="solid">
        <fgColor rgb="00E8F4E8"/>
      </patternFill>
    </fill>
    <fill>
      <patternFill patternType="solid">
        <fgColor rgb="005C4B37"/>
      </patternFill>
    </fill>
    <fill>
      <patternFill patternType="solid">
        <fgColor rgb="008B7355"/>
      </patternFill>
    </fill>
  </fills>
  <borders count="2">
    <border>
      <left/>
      <right/>
      <top/>
      <bottom/>
      <diagonal/>
    </border>
    <border>
      <right style="thin">
        <color rgb="00D6CBB8"/>
      </right>
      <bottom style="thin">
        <color rgb="00D6CBB8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2" fillId="8" borderId="0" applyAlignment="1" pivotButton="0" quotePrefix="0" xfId="0">
      <alignment horizontal="left" vertical="center"/>
    </xf>
    <xf numFmtId="0" fontId="3" fillId="8" borderId="0" applyAlignment="1" pivotButton="0" quotePrefix="0" xfId="0">
      <alignment horizontal="left" vertical="center"/>
    </xf>
    <xf numFmtId="0" fontId="4" fillId="8" borderId="0" applyAlignment="1" pivotButton="0" quotePrefix="0" xfId="0">
      <alignment horizontal="left" vertical="center"/>
    </xf>
    <xf numFmtId="0" fontId="0" fillId="8" borderId="0" pivotButton="0" quotePrefix="0" xfId="0"/>
    <xf numFmtId="0" fontId="5" fillId="8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6" fillId="8" borderId="0" applyAlignment="1" pivotButton="0" quotePrefix="0" xfId="0">
      <alignment horizontal="center"/>
    </xf>
    <xf numFmtId="0" fontId="7" fillId="3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8" fillId="3" borderId="1" applyAlignment="1" pivotButton="0" quotePrefix="0" xfId="0">
      <alignment vertical="top" wrapText="1"/>
    </xf>
    <xf numFmtId="0" fontId="8" fillId="6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  <xf numFmtId="0" fontId="7" fillId="7" borderId="1" applyAlignment="1" pivotButton="0" quotePrefix="0" xfId="0">
      <alignment vertical="top" wrapText="1"/>
    </xf>
    <xf numFmtId="0" fontId="8" fillId="7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40" customWidth="1" min="2" max="2"/>
    <col width="6" customWidth="1" min="3" max="3"/>
    <col width="44" customWidth="1" min="4" max="4"/>
    <col width="11" customWidth="1" min="5" max="5"/>
    <col width="52" customWidth="1" min="6" max="6"/>
    <col width="9" customWidth="1" min="7" max="7"/>
    <col width="18" customWidth="1" min="8" max="8"/>
    <col width="12" customWidth="1" min="9" max="9"/>
    <col width="10" customWidth="1" min="10" max="10"/>
    <col width="12" customWidth="1" min="11" max="11"/>
    <col width="22" customWidth="1" min="12" max="12"/>
    <col width="18" customWidth="1" min="13" max="13"/>
    <col width="40" customWidth="1" min="14" max="14"/>
    <col width="46" customWidth="1" min="15" max="15"/>
    <col width="10" customWidth="1" min="16" max="16"/>
    <col width="52" customWidth="1" min="17" max="17"/>
    <col width="14" customWidth="1" min="18" max="18"/>
  </cols>
  <sheetData>
    <row r="1" ht="22" customHeight="1">
      <c r="A1" s="7" t="inlineStr">
        <is>
          <t>ShipSafe Release Guardian</t>
        </is>
      </c>
      <c r="B1" s="8" t="inlineStr">
        <is>
          <t>Report: 2026-08-29</t>
        </is>
      </c>
      <c r="C1" s="8" t="inlineStr">
        <is>
          <t>Run: 2026-08-29 19:45</t>
        </is>
      </c>
      <c r="D1" s="9" t="inlineStr">
        <is>
          <t>Pending fixes: 7</t>
        </is>
      </c>
      <c r="E1" s="9" t="inlineStr">
        <is>
          <t>Verdict: 🔴 NO-GO — see findings below</t>
        </is>
      </c>
      <c r="F1" s="8" t="inlineStr">
        <is>
          <t>No PR</t>
        </is>
      </c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1">
        <f>HYPERLINK("http://127.0.0.1:5001","Dashboard")</f>
        <v/>
      </c>
    </row>
    <row r="2" ht="18" customHeight="1">
      <c r="A2" s="12" t="inlineStr">
        <is>
          <t>Task ID</t>
        </is>
      </c>
      <c r="B2" s="12" t="inlineStr">
        <is>
          <t>File</t>
        </is>
      </c>
      <c r="C2" s="12" t="inlineStr">
        <is>
          <t>Line</t>
        </is>
      </c>
      <c r="D2" s="12" t="inlineStr">
        <is>
          <t>Bug</t>
        </is>
      </c>
      <c r="E2" s="12" t="inlineStr">
        <is>
          <t>Severity</t>
        </is>
      </c>
      <c r="F2" s="12" t="inlineStr">
        <is>
          <t>Fix Suggestion</t>
        </is>
      </c>
      <c r="G2" s="12" t="inlineStr">
        <is>
          <t>Status</t>
        </is>
      </c>
      <c r="H2" s="12" t="inlineStr">
        <is>
          <t>Date</t>
        </is>
      </c>
      <c r="I2" s="12" t="inlineStr">
        <is>
          <t>Due Date</t>
        </is>
      </c>
      <c r="J2" s="12" t="inlineStr">
        <is>
          <t>Fix Link</t>
        </is>
      </c>
      <c r="K2" s="12" t="inlineStr">
        <is>
          <t>Bug Number</t>
        </is>
      </c>
      <c r="L2" s="12" t="inlineStr">
        <is>
          <t>Person In Charge</t>
        </is>
      </c>
      <c r="M2" s="12" t="inlineStr">
        <is>
          <t>Date Time</t>
        </is>
      </c>
      <c r="N2" s="12" t="inlineStr">
        <is>
          <t>Details</t>
        </is>
      </c>
      <c r="O2" s="12" t="inlineStr">
        <is>
          <t>What Fix</t>
        </is>
      </c>
      <c r="P2" s="12" t="inlineStr">
        <is>
          <t>Pending</t>
        </is>
      </c>
      <c r="Q2" s="12" t="inlineStr">
        <is>
          <t>Created From Why</t>
        </is>
      </c>
      <c r="R2" s="12" t="inlineStr">
        <is>
          <t>PR Link</t>
        </is>
      </c>
    </row>
    <row r="3">
      <c r="A3" s="13" t="inlineStr">
        <is>
          <t>C01</t>
        </is>
      </c>
      <c r="B3" s="13" t="inlineStr">
        <is>
          <t>src (git diff)</t>
        </is>
      </c>
      <c r="C3" s="13" t="inlineStr"/>
      <c r="D3" s="13" t="inlineStr">
        <is>
          <t>Breaking API change in diff</t>
        </is>
      </c>
      <c r="E3" s="13" t="inlineStr">
        <is>
          <t>HIGH</t>
        </is>
      </c>
      <c r="F3" s="13" t="inlineStr">
        <is>
          <t>No action required — check passed</t>
        </is>
      </c>
      <c r="G3" s="13" t="inlineStr">
        <is>
          <t>OK</t>
        </is>
      </c>
      <c r="H3" s="13" t="inlineStr">
        <is>
          <t>2026-08-29 19:45</t>
        </is>
      </c>
      <c r="I3" s="13" t="inlineStr">
        <is>
          <t>2026-08-30</t>
        </is>
      </c>
      <c r="J3" s="14">
        <f>HYPERLINK("file:////Users/cerinrosechelladurai/Desktop/shipsafe-release-guardian/src (git diff)", "Open")</f>
        <v/>
      </c>
      <c r="K3" s="13" t="inlineStr">
        <is>
          <t>BUG-C01</t>
        </is>
      </c>
      <c r="L3" s="13" t="inlineStr">
        <is>
          <t>N/A</t>
        </is>
      </c>
      <c r="M3" s="13" t="inlineStr">
        <is>
          <t>2026-08-29 19:45</t>
        </is>
      </c>
      <c r="N3" s="13" t="inlineStr">
        <is>
          <t>No additional detail recorded</t>
        </is>
      </c>
      <c r="O3" s="13" t="inlineStr">
        <is>
          <t>No action required — check passed</t>
        </is>
      </c>
      <c r="P3" s="20" t="inlineStr">
        <is>
          <t>No</t>
        </is>
      </c>
      <c r="Q3" s="13" t="inlineStr">
        <is>
          <t>API compatibility gate — prevents breaking changes reaching production consumers</t>
        </is>
      </c>
      <c r="R3" s="14" t="inlineStr"/>
    </row>
    <row r="4">
      <c r="A4" s="15" t="inlineStr">
        <is>
          <t>C02</t>
        </is>
      </c>
      <c r="B4" s="15" t="inlineStr">
        <is>
          <t>src/pom.xml</t>
        </is>
      </c>
      <c r="C4" s="15" t="inlineStr"/>
      <c r="D4" s="15" t="inlineStr">
        <is>
          <t>Manifest known-CVE artifact</t>
        </is>
      </c>
      <c r="E4" s="15" t="inlineStr">
        <is>
          <t>CRITICAL</t>
        </is>
      </c>
      <c r="F4" s="15" t="inlineStr">
        <is>
          <t>No action required — check passed</t>
        </is>
      </c>
      <c r="G4" s="15" t="inlineStr">
        <is>
          <t>OK</t>
        </is>
      </c>
      <c r="H4" s="15" t="inlineStr">
        <is>
          <t>2026-08-29 19:45</t>
        </is>
      </c>
      <c r="I4" s="15" t="inlineStr">
        <is>
          <t>2026-08-29 17:00</t>
        </is>
      </c>
      <c r="J4" s="14">
        <f>HYPERLINK("file:////Users/cerinrosechelladurai/Desktop/shipsafe-release-guardian/src/pom.xml", "Open")</f>
        <v/>
      </c>
      <c r="K4" s="15" t="inlineStr">
        <is>
          <t>BUG-C02</t>
        </is>
      </c>
      <c r="L4" s="15" t="inlineStr">
        <is>
          <t>Costin Leau</t>
        </is>
      </c>
      <c r="M4" s="15" t="inlineStr">
        <is>
          <t>2026-06-19 08:20</t>
        </is>
      </c>
      <c r="N4" s="15" t="inlineStr">
        <is>
          <t>No additional detail recorded</t>
        </is>
      </c>
      <c r="O4" s="15" t="inlineStr">
        <is>
          <t>Upgrade or replace the vulnerable dependency flagged in pom.xml</t>
        </is>
      </c>
      <c r="P4" s="21" t="inlineStr">
        <is>
          <t>No</t>
        </is>
      </c>
      <c r="Q4" s="15" t="inlineStr">
        <is>
          <t>Supply-chain security — known CVE in a direct dependency blocks safe deployment</t>
        </is>
      </c>
      <c r="R4" s="14" t="inlineStr"/>
    </row>
    <row r="5">
      <c r="A5" s="13" t="inlineStr">
        <is>
          <t>C03</t>
        </is>
      </c>
      <c r="B5" s="13" t="inlineStr">
        <is>
          <t>requirements.txt</t>
        </is>
      </c>
      <c r="C5" s="13" t="inlineStr"/>
      <c r="D5" s="13" t="inlineStr">
        <is>
          <t>requirements.txt / lockfile CVE</t>
        </is>
      </c>
      <c r="E5" s="13" t="inlineStr">
        <is>
          <t>HIGH</t>
        </is>
      </c>
      <c r="F5" s="13" t="inlineStr">
        <is>
          <t>No action required — check passed</t>
        </is>
      </c>
      <c r="G5" s="13" t="inlineStr">
        <is>
          <t>OK</t>
        </is>
      </c>
      <c r="H5" s="13" t="inlineStr">
        <is>
          <t>2026-08-29 19:45</t>
        </is>
      </c>
      <c r="I5" s="13" t="inlineStr">
        <is>
          <t>2026-08-30</t>
        </is>
      </c>
      <c r="J5" s="14">
        <f>HYPERLINK("file:////Users/cerinrosechelladurai/Desktop/shipsafe-release-guardian/requirements.txt", "Open")</f>
        <v/>
      </c>
      <c r="K5" s="13" t="inlineStr">
        <is>
          <t>BUG-C03</t>
        </is>
      </c>
      <c r="L5" s="13" t="inlineStr">
        <is>
          <t>N/A</t>
        </is>
      </c>
      <c r="M5" s="13" t="inlineStr">
        <is>
          <t>2026-08-29 19:45</t>
        </is>
      </c>
      <c r="N5" s="13" t="inlineStr">
        <is>
          <t>No additional detail recorded</t>
        </is>
      </c>
      <c r="O5" s="13" t="inlineStr">
        <is>
          <t>No action required — check passed</t>
        </is>
      </c>
      <c r="P5" s="20" t="inlineStr">
        <is>
          <t>No</t>
        </is>
      </c>
      <c r="Q5" s="13" t="inlineStr">
        <is>
          <t>Python dependency audit — CVE in requirements.txt or lockfile poses runtime risk</t>
        </is>
      </c>
      <c r="R5" s="14" t="inlineStr"/>
    </row>
    <row r="6">
      <c r="A6" s="15" t="inlineStr">
        <is>
          <t>C04</t>
        </is>
      </c>
      <c r="B6" s="15" t="inlineStr">
        <is>
          <t>src/src/main/resources/application.properties</t>
        </is>
      </c>
      <c r="C6" s="15" t="inlineStr">
        <is>
          <t>30</t>
        </is>
      </c>
      <c r="D6" s="15" t="inlineStr">
        <is>
          <t>VAULT_ID missing from config</t>
        </is>
      </c>
      <c r="E6" s="15" t="inlineStr">
        <is>
          <t>CRITICAL</t>
        </is>
      </c>
      <c r="F6" s="15" t="inlineStr">
        <is>
          <t>No action required — check passed</t>
        </is>
      </c>
      <c r="G6" s="15" t="inlineStr">
        <is>
          <t>OK</t>
        </is>
      </c>
      <c r="H6" s="15" t="inlineStr">
        <is>
          <t>2026-08-29 19:45</t>
        </is>
      </c>
      <c r="I6" s="15" t="inlineStr">
        <is>
          <t>2026-08-29 17:00</t>
        </is>
      </c>
      <c r="J6" s="14">
        <f>HYPERLINK("file:////Users/cerinrosechelladurai/Desktop/shipsafe-release-guardian/src/src/main/resources/application.properties", "Open")</f>
        <v/>
      </c>
      <c r="K6" s="15" t="inlineStr">
        <is>
          <t>BUG-C04</t>
        </is>
      </c>
      <c r="L6" s="15" t="inlineStr">
        <is>
          <t>Uncommitted</t>
        </is>
      </c>
      <c r="M6" s="15" t="inlineStr">
        <is>
          <t>2026-04-20 13:42</t>
        </is>
      </c>
      <c r="N6" s="15" t="inlineStr">
        <is>
          <t>No additional detail recorded</t>
        </is>
      </c>
      <c r="O6" s="15" t="inlineStr">
        <is>
          <t>Add VAULT_ID=&lt;id&gt; to application.properties or environment config</t>
        </is>
      </c>
      <c r="P6" s="21" t="inlineStr">
        <is>
          <t>No</t>
        </is>
      </c>
      <c r="Q6" s="15" t="inlineStr">
        <is>
          <t>Secrets management — VAULT_ID must be bound before the app can reach the vault</t>
        </is>
      </c>
      <c r="R6" s="14" t="inlineStr"/>
    </row>
    <row r="7">
      <c r="A7" s="15" t="inlineStr">
        <is>
          <t>C05</t>
        </is>
      </c>
      <c r="B7" s="15" t="inlineStr">
        <is>
          <t>src/src/main/resources/application.properties</t>
        </is>
      </c>
      <c r="C7" s="15" t="inlineStr"/>
      <c r="D7" s="15" t="inlineStr">
        <is>
          <t>Hardcoded secret in config</t>
        </is>
      </c>
      <c r="E7" s="15" t="inlineStr">
        <is>
          <t>CRITICAL</t>
        </is>
      </c>
      <c r="F7" s="15" t="inlineStr">
        <is>
          <t>No action required — check passed</t>
        </is>
      </c>
      <c r="G7" s="15" t="inlineStr">
        <is>
          <t>OK</t>
        </is>
      </c>
      <c r="H7" s="15" t="inlineStr">
        <is>
          <t>2026-08-29 19:45</t>
        </is>
      </c>
      <c r="I7" s="15" t="inlineStr">
        <is>
          <t>2026-08-29 17:00</t>
        </is>
      </c>
      <c r="J7" s="14">
        <f>HYPERLINK("file:////Users/cerinrosechelladurai/Desktop/shipsafe-release-guardian/src/src/main/resources/application.properties", "Open")</f>
        <v/>
      </c>
      <c r="K7" s="15" t="inlineStr">
        <is>
          <t>BUG-C05</t>
        </is>
      </c>
      <c r="L7" s="15" t="inlineStr">
        <is>
          <t>Dapeng</t>
        </is>
      </c>
      <c r="M7" s="15" t="inlineStr">
        <is>
          <t>2026-04-20 13:42</t>
        </is>
      </c>
      <c r="N7" s="15" t="inlineStr">
        <is>
          <t>No additional detail recorded</t>
        </is>
      </c>
      <c r="O7" s="15" t="inlineStr">
        <is>
          <t>Remove hardcoded secret; inject via environment variable or vault</t>
        </is>
      </c>
      <c r="P7" s="21" t="inlineStr">
        <is>
          <t>No</t>
        </is>
      </c>
      <c r="Q7" s="15" t="inlineStr">
        <is>
          <t>Credential hygiene — hardcoded secrets in config files leak via version control</t>
        </is>
      </c>
      <c r="R7" s="14" t="inlineStr"/>
    </row>
    <row r="8">
      <c r="A8" s="13" t="inlineStr">
        <is>
          <t>C06</t>
        </is>
      </c>
      <c r="B8" s="13" t="inlineStr">
        <is>
          <t>src/src/main/resources/application.properties</t>
        </is>
      </c>
      <c r="C8" s="13" t="inlineStr">
        <is>
          <t>21</t>
        </is>
      </c>
      <c r="D8" s="13" t="inlineStr">
        <is>
          <t>Actuator / debug endpoint wildcard exposed</t>
        </is>
      </c>
      <c r="E8" s="13" t="inlineStr">
        <is>
          <t>HIGH</t>
        </is>
      </c>
      <c r="F8" s="13" t="inlineStr">
        <is>
          <t>Set management.endpoints.web.exposure.include=health in application.properties</t>
        </is>
      </c>
      <c r="G8" s="13" t="inlineStr">
        <is>
          <t>Pending</t>
        </is>
      </c>
      <c r="H8" s="13" t="inlineStr">
        <is>
          <t>2026-08-29 19:45</t>
        </is>
      </c>
      <c r="I8" s="13" t="inlineStr">
        <is>
          <t>2026-08-30</t>
        </is>
      </c>
      <c r="J8" s="14">
        <f>HYPERLINK("file:////Users/cerinrosechelladurai/Desktop/shipsafe-release-guardian/src/src/main/resources/application.properties", "Open")</f>
        <v/>
      </c>
      <c r="K8" s="13" t="inlineStr">
        <is>
          <t>BUG-C06</t>
        </is>
      </c>
      <c r="L8" s="13" t="inlineStr">
        <is>
          <t>Stephane Nicoll</t>
        </is>
      </c>
      <c r="M8" s="13" t="inlineStr">
        <is>
          <t>2026-04-20 13:42</t>
        </is>
      </c>
      <c r="N8" s="13" t="inlineStr">
        <is>
          <t>All endpoints exposed via wildcard</t>
        </is>
      </c>
      <c r="O8" s="13" t="inlineStr">
        <is>
          <t>Set management.endpoints.web.exposure.include=health in application.properties</t>
        </is>
      </c>
      <c r="P8" s="22" t="inlineStr">
        <is>
          <t>Yes</t>
        </is>
      </c>
      <c r="Q8" s="13" t="inlineStr">
        <is>
          <t>Attack surface — wildcard actuator exposure allows unauthenticated admin access</t>
        </is>
      </c>
      <c r="R8" s="14" t="inlineStr"/>
    </row>
    <row r="9">
      <c r="A9" s="13" t="inlineStr">
        <is>
          <t>C07</t>
        </is>
      </c>
      <c r="B9" s="13" t="inlineStr">
        <is>
          <t>src/src/main/resources/application.properties</t>
        </is>
      </c>
      <c r="C9" s="13" t="inlineStr"/>
      <c r="D9" s="13" t="inlineStr">
        <is>
          <t>No TLS/HTTPS configured</t>
        </is>
      </c>
      <c r="E9" s="13" t="inlineStr">
        <is>
          <t>HIGH</t>
        </is>
      </c>
      <c r="F9" s="13" t="inlineStr">
        <is>
          <t>Add server.ssl.* properties and configure a keystore for HTTPS</t>
        </is>
      </c>
      <c r="G9" s="13" t="inlineStr">
        <is>
          <t>Pending</t>
        </is>
      </c>
      <c r="H9" s="13" t="inlineStr">
        <is>
          <t>2026-08-29 19:45</t>
        </is>
      </c>
      <c r="I9" s="13" t="inlineStr">
        <is>
          <t>2026-08-30</t>
        </is>
      </c>
      <c r="J9" s="14">
        <f>HYPERLINK("file:////Users/cerinrosechelladurai/Desktop/shipsafe-release-guardian/src/src/main/resources/application.properties", "Open")</f>
        <v/>
      </c>
      <c r="K9" s="13" t="inlineStr">
        <is>
          <t>BUG-C07</t>
        </is>
      </c>
      <c r="L9" s="13" t="inlineStr">
        <is>
          <t>Dapeng</t>
        </is>
      </c>
      <c r="M9" s="13" t="inlineStr">
        <is>
          <t>2026-04-20 13:42</t>
        </is>
      </c>
      <c r="N9" s="13" t="inlineStr">
        <is>
          <t>No TLS config found in application.properties</t>
        </is>
      </c>
      <c r="O9" s="13" t="inlineStr">
        <is>
          <t>Add server.ssl.* properties and configure a keystore for HTTPS</t>
        </is>
      </c>
      <c r="P9" s="22" t="inlineStr">
        <is>
          <t>Yes</t>
        </is>
      </c>
      <c r="Q9" s="13" t="inlineStr">
        <is>
          <t>Transport security — plain HTTP in production exposes credentials and data in transit</t>
        </is>
      </c>
      <c r="R9" s="14" t="inlineStr"/>
    </row>
    <row r="10">
      <c r="A10" s="13" t="inlineStr">
        <is>
          <t>C08</t>
        </is>
      </c>
      <c r="B10" s="13" t="inlineStr">
        <is>
          <t>src/pom.xml</t>
        </is>
      </c>
      <c r="C10" s="13" t="inlineStr"/>
      <c r="D10" s="13" t="inlineStr">
        <is>
          <t>No security middleware/dependency</t>
        </is>
      </c>
      <c r="E10" s="13" t="inlineStr">
        <is>
          <t>HIGH</t>
        </is>
      </c>
      <c r="F10" s="13" t="inlineStr">
        <is>
          <t>Add spring-boot-starter-security to pom.xml and create a SecurityFilterChain bean</t>
        </is>
      </c>
      <c r="G10" s="13" t="inlineStr">
        <is>
          <t>Pending</t>
        </is>
      </c>
      <c r="H10" s="13" t="inlineStr">
        <is>
          <t>2026-08-29 19:45</t>
        </is>
      </c>
      <c r="I10" s="13" t="inlineStr">
        <is>
          <t>2026-08-30</t>
        </is>
      </c>
      <c r="J10" s="14">
        <f>HYPERLINK("file:////Users/cerinrosechelladurai/Desktop/shipsafe-release-guardian/src/pom.xml", "Open")</f>
        <v/>
      </c>
      <c r="K10" s="13" t="inlineStr">
        <is>
          <t>BUG-C08</t>
        </is>
      </c>
      <c r="L10" s="13" t="inlineStr">
        <is>
          <t>Costin Leau</t>
        </is>
      </c>
      <c r="M10" s="13" t="inlineStr">
        <is>
          <t>2026-06-19 08:20</t>
        </is>
      </c>
      <c r="N10" s="13" t="inlineStr">
        <is>
          <t>Security library missing from pom.xml</t>
        </is>
      </c>
      <c r="O10" s="13" t="inlineStr">
        <is>
          <t>Add spring-boot-starter-security to pom.xml and create a SecurityFilterChain bean</t>
        </is>
      </c>
      <c r="P10" s="22" t="inlineStr">
        <is>
          <t>Yes</t>
        </is>
      </c>
      <c r="Q10" s="13" t="inlineStr">
        <is>
          <t>Authentication gate — no security dependency means all endpoints are unprotected</t>
        </is>
      </c>
      <c r="R10" s="14" t="inlineStr"/>
    </row>
    <row r="11">
      <c r="A11" s="17" t="inlineStr">
        <is>
          <t>C09</t>
        </is>
      </c>
      <c r="B11" s="17" t="inlineStr">
        <is>
          <t>src/pom.xml</t>
        </is>
      </c>
      <c r="C11" s="17" t="inlineStr"/>
      <c r="D11" s="17" t="inlineStr">
        <is>
          <t>No DB migration tool</t>
        </is>
      </c>
      <c r="E11" s="17" t="inlineStr">
        <is>
          <t>MEDIUM</t>
        </is>
      </c>
      <c r="F11" s="17" t="inlineStr">
        <is>
          <t>Add flyway-core or liquibase-core to pom.xml for managed schema migrations</t>
        </is>
      </c>
      <c r="G11" s="17" t="inlineStr">
        <is>
          <t>Pending</t>
        </is>
      </c>
      <c r="H11" s="17" t="inlineStr">
        <is>
          <t>2026-08-29 19:45</t>
        </is>
      </c>
      <c r="I11" s="17" t="inlineStr">
        <is>
          <t>2026-09-04 17:00</t>
        </is>
      </c>
      <c r="J11" s="14">
        <f>HYPERLINK("file:////Users/cerinrosechelladurai/Desktop/shipsafe-release-guardian/src/pom.xml", "Open")</f>
        <v/>
      </c>
      <c r="K11" s="17" t="inlineStr">
        <is>
          <t>BUG-C09</t>
        </is>
      </c>
      <c r="L11" s="17" t="inlineStr">
        <is>
          <t>Costin Leau</t>
        </is>
      </c>
      <c r="M11" s="17" t="inlineStr">
        <is>
          <t>2026-06-19 08:20</t>
        </is>
      </c>
      <c r="N11" s="17" t="inlineStr">
        <is>
          <t>No DB migration library detected</t>
        </is>
      </c>
      <c r="O11" s="17" t="inlineStr">
        <is>
          <t>Add flyway-core or liquibase-core to pom.xml for managed schema migrations</t>
        </is>
      </c>
      <c r="P11" s="23" t="inlineStr">
        <is>
          <t>Yes</t>
        </is>
      </c>
      <c r="Q11" s="17" t="inlineStr">
        <is>
          <t>Data integrity — unmanaged schema changes risk migration failures on deploy</t>
        </is>
      </c>
      <c r="R11" s="14" t="inlineStr"/>
    </row>
    <row r="12">
      <c r="A12" s="17" t="inlineStr">
        <is>
          <t>C10</t>
        </is>
      </c>
      <c r="B12" s="17" t="inlineStr">
        <is>
          <t>src/Dockerfile</t>
        </is>
      </c>
      <c r="C12" s="17" t="inlineStr"/>
      <c r="D12" s="17" t="inlineStr">
        <is>
          <t>Dockerfile exposes privileged port (&lt;1024)</t>
        </is>
      </c>
      <c r="E12" s="17" t="inlineStr">
        <is>
          <t>MEDIUM</t>
        </is>
      </c>
      <c r="F12" s="17" t="inlineStr">
        <is>
          <t>No action required — check passed</t>
        </is>
      </c>
      <c r="G12" s="17" t="inlineStr">
        <is>
          <t>OK</t>
        </is>
      </c>
      <c r="H12" s="17" t="inlineStr">
        <is>
          <t>2026-08-29 19:45</t>
        </is>
      </c>
      <c r="I12" s="17" t="inlineStr">
        <is>
          <t>2026-09-04 17:00</t>
        </is>
      </c>
      <c r="J12" s="14">
        <f>HYPERLINK("file:////Users/cerinrosechelladurai/Desktop/shipsafe-release-guardian/src/Dockerfile", "Open")</f>
        <v/>
      </c>
      <c r="K12" s="17" t="inlineStr">
        <is>
          <t>BUG-C10</t>
        </is>
      </c>
      <c r="L12" s="17" t="inlineStr">
        <is>
          <t>N/A</t>
        </is>
      </c>
      <c r="M12" s="17" t="inlineStr">
        <is>
          <t>2026-08-29 19:45</t>
        </is>
      </c>
      <c r="N12" s="17" t="inlineStr">
        <is>
          <t>No additional detail recorded</t>
        </is>
      </c>
      <c r="O12" s="17" t="inlineStr">
        <is>
          <t>No action required — check passed</t>
        </is>
      </c>
      <c r="P12" s="24" t="inlineStr">
        <is>
          <t>No</t>
        </is>
      </c>
      <c r="Q12" s="17" t="inlineStr">
        <is>
          <t>Container hygiene — ports below 1024 require root privileges in the container</t>
        </is>
      </c>
      <c r="R12" s="14" t="inlineStr"/>
    </row>
    <row r="13">
      <c r="A13" s="13" t="inlineStr">
        <is>
          <t>C11</t>
        </is>
      </c>
      <c r="B13" s="13" t="inlineStr">
        <is>
          <t>pipeline.yaml</t>
        </is>
      </c>
      <c r="C13" s="13" t="inlineStr"/>
      <c r="D13" s="13" t="inlineStr">
        <is>
          <t>Hardcoded S3 bucket in pipeline.yaml</t>
        </is>
      </c>
      <c r="E13" s="13" t="inlineStr">
        <is>
          <t>HIGH</t>
        </is>
      </c>
      <c r="F13" s="13" t="inlineStr">
        <is>
          <t>No action required — check passed</t>
        </is>
      </c>
      <c r="G13" s="13" t="inlineStr">
        <is>
          <t>OK</t>
        </is>
      </c>
      <c r="H13" s="13" t="inlineStr">
        <is>
          <t>2026-08-29 19:45</t>
        </is>
      </c>
      <c r="I13" s="13" t="inlineStr">
        <is>
          <t>2026-08-30</t>
        </is>
      </c>
      <c r="J13" s="14">
        <f>HYPERLINK("file:////Users/cerinrosechelladurai/Desktop/shipsafe-release-guardian/pipeline.yaml", "Open")</f>
        <v/>
      </c>
      <c r="K13" s="13" t="inlineStr">
        <is>
          <t>BUG-C11</t>
        </is>
      </c>
      <c r="L13" s="13" t="inlineStr">
        <is>
          <t>N/A</t>
        </is>
      </c>
      <c r="M13" s="13" t="inlineStr">
        <is>
          <t>2026-08-29 19:45</t>
        </is>
      </c>
      <c r="N13" s="13" t="inlineStr">
        <is>
          <t>No additional detail recorded</t>
        </is>
      </c>
      <c r="O13" s="13" t="inlineStr">
        <is>
          <t>No action required — check passed</t>
        </is>
      </c>
      <c r="P13" s="20" t="inlineStr">
        <is>
          <t>No</t>
        </is>
      </c>
      <c r="Q13" s="13" t="inlineStr">
        <is>
          <t>Infrastructure hygiene — hardcoded S3 bucket couples pipeline to a specific account</t>
        </is>
      </c>
      <c r="R13" s="14" t="inlineStr"/>
    </row>
    <row r="14">
      <c r="A14" s="17" t="inlineStr">
        <is>
          <t>C12</t>
        </is>
      </c>
      <c r="B14" s="17" t="inlineStr">
        <is>
          <t>notebook.ipynb</t>
        </is>
      </c>
      <c r="C14" s="17" t="inlineStr"/>
      <c r="D14" s="17" t="inlineStr">
        <is>
          <t>Notebook contains api_key literal</t>
        </is>
      </c>
      <c r="E14" s="17" t="inlineStr">
        <is>
          <t>MEDIUM</t>
        </is>
      </c>
      <c r="F14" s="17" t="inlineStr">
        <is>
          <t>No action required — check passed</t>
        </is>
      </c>
      <c r="G14" s="17" t="inlineStr">
        <is>
          <t>OK</t>
        </is>
      </c>
      <c r="H14" s="17" t="inlineStr">
        <is>
          <t>2026-08-29 19:45</t>
        </is>
      </c>
      <c r="I14" s="17" t="inlineStr">
        <is>
          <t>2026-09-04 17:00</t>
        </is>
      </c>
      <c r="J14" s="14">
        <f>HYPERLINK("file:////Users/cerinrosechelladurai/Desktop/shipsafe-release-guardian/notebook.ipynb", "Open")</f>
        <v/>
      </c>
      <c r="K14" s="17" t="inlineStr">
        <is>
          <t>BUG-C12</t>
        </is>
      </c>
      <c r="L14" s="17" t="inlineStr">
        <is>
          <t>N/A</t>
        </is>
      </c>
      <c r="M14" s="17" t="inlineStr">
        <is>
          <t>2026-08-29 19:45</t>
        </is>
      </c>
      <c r="N14" s="17" t="inlineStr">
        <is>
          <t>No additional detail recorded</t>
        </is>
      </c>
      <c r="O14" s="17" t="inlineStr">
        <is>
          <t>No action required — check passed</t>
        </is>
      </c>
      <c r="P14" s="24" t="inlineStr">
        <is>
          <t>No</t>
        </is>
      </c>
      <c r="Q14" s="17" t="inlineStr">
        <is>
          <t>Notebook security — api_key literals in notebooks leak credentials via git history</t>
        </is>
      </c>
      <c r="R14" s="14" t="inlineStr"/>
    </row>
    <row r="15">
      <c r="A15" s="18" t="inlineStr">
        <is>
          <t>C13</t>
        </is>
      </c>
      <c r="B15" s="18" t="inlineStr">
        <is>
          <t>notebook.ipynb</t>
        </is>
      </c>
      <c r="C15" s="18" t="inlineStr"/>
      <c r="D15" s="18" t="inlineStr">
        <is>
          <t>Notebook hardcoded local CSV path</t>
        </is>
      </c>
      <c r="E15" s="18" t="inlineStr">
        <is>
          <t>LOW</t>
        </is>
      </c>
      <c r="F15" s="18" t="inlineStr">
        <is>
          <t>No action required — check passed</t>
        </is>
      </c>
      <c r="G15" s="18" t="inlineStr">
        <is>
          <t>OK</t>
        </is>
      </c>
      <c r="H15" s="18" t="inlineStr">
        <is>
          <t>2026-08-29 19:45</t>
        </is>
      </c>
      <c r="I15" s="18" t="inlineStr"/>
      <c r="J15" s="14">
        <f>HYPERLINK("file:////Users/cerinrosechelladurai/Desktop/shipsafe-release-guardian/notebook.ipynb", "Open")</f>
        <v/>
      </c>
      <c r="K15" s="18" t="inlineStr">
        <is>
          <t>BUG-C13</t>
        </is>
      </c>
      <c r="L15" s="18" t="inlineStr">
        <is>
          <t>N/A</t>
        </is>
      </c>
      <c r="M15" s="18" t="inlineStr">
        <is>
          <t>2026-08-29 19:45</t>
        </is>
      </c>
      <c r="N15" s="18" t="inlineStr">
        <is>
          <t>No additional detail recorded</t>
        </is>
      </c>
      <c r="O15" s="18" t="inlineStr">
        <is>
          <t>No action required — check passed</t>
        </is>
      </c>
      <c r="P15" s="25" t="inlineStr">
        <is>
          <t>No</t>
        </is>
      </c>
      <c r="Q15" s="18" t="inlineStr">
        <is>
          <t>Notebook portability — hardcoded local paths break notebook execution in CI/CD</t>
        </is>
      </c>
      <c r="R15" s="14" t="inlineStr"/>
    </row>
    <row r="16">
      <c r="A16" s="18" t="inlineStr">
        <is>
          <t>C14</t>
        </is>
      </c>
      <c r="B16" s="18" t="inlineStr">
        <is>
          <t>pipeline.yaml</t>
        </is>
      </c>
      <c r="C16" s="18" t="inlineStr"/>
      <c r="D16" s="18" t="inlineStr">
        <is>
          <t>GPU env var (CUDA_VISIBLE_DEVICES) missing</t>
        </is>
      </c>
      <c r="E16" s="18" t="inlineStr">
        <is>
          <t>LOW</t>
        </is>
      </c>
      <c r="F16" s="18" t="inlineStr">
        <is>
          <t>Add CUDA_VISIBLE_DEVICES env var to pipeline.yaml GPU job definition</t>
        </is>
      </c>
      <c r="G16" s="18" t="inlineStr">
        <is>
          <t>Pending</t>
        </is>
      </c>
      <c r="H16" s="18" t="inlineStr">
        <is>
          <t>2026-08-29 19:45</t>
        </is>
      </c>
      <c r="I16" s="18" t="inlineStr"/>
      <c r="J16" s="14">
        <f>HYPERLINK("file:////Users/cerinrosechelladurai/Desktop/shipsafe-release-guardian/pipeline.yaml", "Open")</f>
        <v/>
      </c>
      <c r="K16" s="18" t="inlineStr">
        <is>
          <t>BUG-C14</t>
        </is>
      </c>
      <c r="L16" s="18" t="inlineStr">
        <is>
          <t>N/A</t>
        </is>
      </c>
      <c r="M16" s="18" t="inlineStr">
        <is>
          <t>2026-08-29 19:45</t>
        </is>
      </c>
      <c r="N16" s="18" t="inlineStr">
        <is>
          <t>CUDA_VISIBLE_DEVICES not set</t>
        </is>
      </c>
      <c r="O16" s="18" t="inlineStr">
        <is>
          <t>Add CUDA_VISIBLE_DEVICES env var to pipeline.yaml GPU job definition</t>
        </is>
      </c>
      <c r="P16" s="26" t="inlineStr">
        <is>
          <t>Yes</t>
        </is>
      </c>
      <c r="Q16" s="18" t="inlineStr">
        <is>
          <t>ML reproducibility — missing CUDA env var causes silent CPU fallback on GPU nodes</t>
        </is>
      </c>
      <c r="R16" s="14" t="inlineStr"/>
    </row>
    <row r="17">
      <c r="A17" s="15" t="inlineStr">
        <is>
          <t>C16</t>
        </is>
      </c>
      <c r="B17" s="15" t="inlineStr">
        <is>
          <t>deploy/codeengine.yaml</t>
        </is>
      </c>
      <c r="C17" s="15" t="inlineStr"/>
      <c r="D17" s="15" t="inlineStr">
        <is>
          <t>VAULT_ID missing from deploy/codeengine.yaml</t>
        </is>
      </c>
      <c r="E17" s="15" t="inlineStr">
        <is>
          <t>CRITICAL</t>
        </is>
      </c>
      <c r="F17" s="15" t="inlineStr">
        <is>
          <t>Declare VAULT_ID in the env block of deploy/codeengine.yaml</t>
        </is>
      </c>
      <c r="G17" s="15" t="inlineStr">
        <is>
          <t>Pending</t>
        </is>
      </c>
      <c r="H17" s="15" t="inlineStr">
        <is>
          <t>2026-08-29 19:45</t>
        </is>
      </c>
      <c r="I17" s="15" t="inlineStr">
        <is>
          <t>2026-08-29 17:00</t>
        </is>
      </c>
      <c r="J17" s="14">
        <f>HYPERLINK("file:////Users/cerinrosechelladurai/Desktop/shipsafe-release-guardian/deploy/codeengine.yaml", "Open")</f>
        <v/>
      </c>
      <c r="K17" s="15" t="inlineStr">
        <is>
          <t>BUG-C16</t>
        </is>
      </c>
      <c r="L17" s="15" t="inlineStr">
        <is>
          <t>Cerin Rose Chelladurai</t>
        </is>
      </c>
      <c r="M17" s="15" t="inlineStr">
        <is>
          <t>2026-08-29 14:07</t>
        </is>
      </c>
      <c r="N17" s="15" t="inlineStr">
        <is>
          <t>VAULT_ID not declared in codeengine.yaml env block</t>
        </is>
      </c>
      <c r="O17" s="15" t="inlineStr">
        <is>
          <t>Declare VAULT_ID in the env block of deploy/codeengine.yaml</t>
        </is>
      </c>
      <c r="P17" s="27" t="inlineStr">
        <is>
          <t>Yes</t>
        </is>
      </c>
      <c r="Q17" s="15" t="inlineStr">
        <is>
          <t>Deploy-time secrets — VAULT_ID absent in codeengine.yaml means app cannot start</t>
        </is>
      </c>
      <c r="R17" s="14" t="inlineStr"/>
    </row>
    <row r="18">
      <c r="A18" s="15" t="inlineStr">
        <is>
          <t>C15</t>
        </is>
      </c>
      <c r="B18" s="15" t="inlineStr">
        <is>
          <t>src/pom.xml</t>
        </is>
      </c>
      <c r="C18" s="15" t="inlineStr">
        <is>
          <t>64</t>
        </is>
      </c>
      <c r="D18" s="15" t="inlineStr">
        <is>
          <t>Phantom / invalid dependencies in manifest</t>
        </is>
      </c>
      <c r="E18" s="15" t="inlineStr">
        <is>
          <t>CRITICAL</t>
        </is>
      </c>
      <c r="F18" s="15" t="inlineStr">
        <is>
          <t>Replace spring-boot-starter-webmvc with spring-boot-starter-web in pom.xml</t>
        </is>
      </c>
      <c r="G18" s="15" t="inlineStr">
        <is>
          <t>Pending</t>
        </is>
      </c>
      <c r="H18" s="15" t="inlineStr">
        <is>
          <t>2026-08-29 19:45</t>
        </is>
      </c>
      <c r="I18" s="15" t="inlineStr">
        <is>
          <t>2026-08-29 17:00</t>
        </is>
      </c>
      <c r="J18" s="14">
        <f>HYPERLINK("file:////Users/cerinrosechelladurai/Desktop/shipsafe-release-guardian/src/pom.xml", "Open")</f>
        <v/>
      </c>
      <c r="K18" s="15" t="inlineStr">
        <is>
          <t>BUG-C15</t>
        </is>
      </c>
      <c r="L18" s="15" t="inlineStr">
        <is>
          <t>Stéphane Nicoll</t>
        </is>
      </c>
      <c r="M18" s="15" t="inlineStr">
        <is>
          <t>2026-06-19 08:20</t>
        </is>
      </c>
      <c r="N18" s="15" t="inlineStr">
        <is>
          <t>Phantom artifact: &lt;artifactId&gt;spring-boot-starter-webmvc&lt;/artifactId&gt;</t>
        </is>
      </c>
      <c r="O18" s="15" t="inlineStr">
        <is>
          <t>Replace spring-boot-starter-webmvc with spring-boot-starter-web in pom.xml</t>
        </is>
      </c>
      <c r="P18" s="27" t="inlineStr">
        <is>
          <t>Yes</t>
        </is>
      </c>
      <c r="Q18" s="15" t="inlineStr">
        <is>
          <t>Dependency hygiene — phantom artifact fails resolution and blocks the build</t>
        </is>
      </c>
      <c r="R18" s="1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8" customWidth="1" min="1" max="1"/>
    <col width="36" customWidth="1" min="2" max="2"/>
    <col width="8" customWidth="1" min="3" max="3"/>
    <col width="8" customWidth="1" min="4" max="4"/>
    <col width="8" customWidth="1" min="5" max="5"/>
    <col width="8" customWidth="1" min="6" max="6"/>
  </cols>
  <sheetData>
    <row r="1">
      <c r="A1" s="19" t="inlineStr">
        <is>
          <t>Date</t>
        </is>
      </c>
      <c r="B1" s="19" t="inlineStr">
        <is>
          <t>Overall</t>
        </is>
      </c>
      <c r="C1" s="19" t="inlineStr">
        <is>
          <t>Pass</t>
        </is>
      </c>
      <c r="D1" s="19" t="inlineStr">
        <is>
          <t>Fail</t>
        </is>
      </c>
      <c r="E1" s="19" t="inlineStr">
        <is>
          <t>Warn</t>
        </is>
      </c>
      <c r="F1" s="19" t="inlineStr">
        <is>
          <t>Total</t>
        </is>
      </c>
    </row>
    <row r="2">
      <c r="A2" t="inlineStr">
        <is>
          <t>2026-08-29 19:03</t>
        </is>
      </c>
      <c r="B2" t="inlineStr">
        <is>
          <t>🔴 NO-GO — see findings below</t>
        </is>
      </c>
      <c r="C2" t="n">
        <v>9</v>
      </c>
      <c r="D2" t="n">
        <v>5</v>
      </c>
      <c r="E2" t="n">
        <v>2</v>
      </c>
      <c r="F2" t="n">
        <v>16</v>
      </c>
    </row>
    <row r="3">
      <c r="A3" t="inlineStr">
        <is>
          <t>2026-08-29 19:03</t>
        </is>
      </c>
      <c r="B3" t="inlineStr">
        <is>
          <t>🔴 NO-GO — see findings below</t>
        </is>
      </c>
      <c r="C3" t="n">
        <v>9</v>
      </c>
      <c r="D3" t="n">
        <v>5</v>
      </c>
      <c r="E3" t="n">
        <v>2</v>
      </c>
      <c r="F3" t="n">
        <v>16</v>
      </c>
    </row>
    <row r="4">
      <c r="A4" t="inlineStr">
        <is>
          <t>2026-08-29 19:06</t>
        </is>
      </c>
      <c r="B4" t="inlineStr">
        <is>
          <t>🔴 NO-GO — see findings below</t>
        </is>
      </c>
      <c r="C4" t="n">
        <v>9</v>
      </c>
      <c r="D4" t="n">
        <v>5</v>
      </c>
      <c r="E4" t="n">
        <v>2</v>
      </c>
      <c r="F4" t="n">
        <v>16</v>
      </c>
    </row>
    <row r="5">
      <c r="A5" t="inlineStr">
        <is>
          <t>2026-08-29 19:14</t>
        </is>
      </c>
      <c r="B5" t="inlineStr">
        <is>
          <t>🔴 NO-GO — see findings below</t>
        </is>
      </c>
      <c r="C5" t="n">
        <v>9</v>
      </c>
      <c r="D5" t="n">
        <v>5</v>
      </c>
      <c r="E5" t="n">
        <v>2</v>
      </c>
      <c r="F5" t="n">
        <v>16</v>
      </c>
    </row>
    <row r="6">
      <c r="A6" t="inlineStr">
        <is>
          <t>2026-08-29 19:17</t>
        </is>
      </c>
      <c r="B6" t="inlineStr">
        <is>
          <t>🔴 NO-GO — see findings below</t>
        </is>
      </c>
      <c r="C6" t="n">
        <v>9</v>
      </c>
      <c r="D6" t="n">
        <v>5</v>
      </c>
      <c r="E6" t="n">
        <v>2</v>
      </c>
      <c r="F6" t="n">
        <v>16</v>
      </c>
    </row>
    <row r="7">
      <c r="A7" t="inlineStr">
        <is>
          <t>2026-08-29 19:37</t>
        </is>
      </c>
      <c r="B7" t="inlineStr">
        <is>
          <t>🔴 NO-GO — see findings below</t>
        </is>
      </c>
      <c r="C7" t="n">
        <v>9</v>
      </c>
      <c r="D7" t="n">
        <v>5</v>
      </c>
      <c r="E7" t="n">
        <v>2</v>
      </c>
      <c r="F7" t="n">
        <v>16</v>
      </c>
    </row>
    <row r="8">
      <c r="A8" t="inlineStr">
        <is>
          <t>2026-08-29 19:37</t>
        </is>
      </c>
      <c r="B8" t="inlineStr">
        <is>
          <t>🔴 NO-GO — see findings below</t>
        </is>
      </c>
      <c r="C8" t="n">
        <v>9</v>
      </c>
      <c r="D8" t="n">
        <v>5</v>
      </c>
      <c r="E8" t="n">
        <v>2</v>
      </c>
      <c r="F8" t="n">
        <v>16</v>
      </c>
    </row>
    <row r="9">
      <c r="A9" t="inlineStr">
        <is>
          <t>2026-08-29 19:37</t>
        </is>
      </c>
      <c r="B9" t="inlineStr">
        <is>
          <t>🔴 NO-GO — see findings below</t>
        </is>
      </c>
      <c r="C9" t="n">
        <v>9</v>
      </c>
      <c r="D9" t="n">
        <v>5</v>
      </c>
      <c r="E9" t="n">
        <v>2</v>
      </c>
      <c r="F9" t="n">
        <v>16</v>
      </c>
    </row>
    <row r="10">
      <c r="A10" t="inlineStr">
        <is>
          <t>2026-08-29 19:45</t>
        </is>
      </c>
      <c r="B10" t="inlineStr">
        <is>
          <t>🔴 NO-GO — see findings below</t>
        </is>
      </c>
      <c r="C10" t="n">
        <v>9</v>
      </c>
      <c r="D10" t="n">
        <v>5</v>
      </c>
      <c r="E10" t="n">
        <v>2</v>
      </c>
      <c r="F10" t="n">
        <v>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2026-08-29T22:51:34Z</dcterms:created>
  <dcterms:modified xsi:type="dcterms:W3CDTF">2026-08-29T23:45:07Z</dcterms:modified>
</cp:coreProperties>
</file>